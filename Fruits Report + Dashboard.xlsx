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Excel\"/>
    </mc:Choice>
  </mc:AlternateContent>
  <bookViews>
    <workbookView xWindow="0" yWindow="0" windowWidth="20490" windowHeight="7650" activeTab="1"/>
  </bookViews>
  <sheets>
    <sheet name="Fruits" sheetId="1" r:id="rId1"/>
    <sheet name="Summary Report" sheetId="3" r:id="rId2"/>
    <sheet name="Dashboard" sheetId="5" r:id="rId3"/>
  </sheets>
  <definedNames>
    <definedName name="_xlnm._FilterDatabase" localSheetId="0" hidden="1">Fruits!$A$1:$H$31</definedName>
  </definedNames>
  <calcPr calcId="162913"/>
  <pivotCaches>
    <pivotCache cacheId="0" r:id="rId4"/>
    <pivotCache cacheId="1" r:id="rId5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5" l="1"/>
  <c r="Y3" i="5"/>
  <c r="X3" i="5"/>
  <c r="J7" i="3"/>
  <c r="I7" i="3"/>
  <c r="H7" i="3"/>
  <c r="N10" i="1"/>
  <c r="L10" i="1"/>
  <c r="N8" i="1"/>
  <c r="L8" i="1"/>
  <c r="G7" i="3"/>
</calcChain>
</file>

<file path=xl/sharedStrings.xml><?xml version="1.0" encoding="utf-8"?>
<sst xmlns="http://schemas.openxmlformats.org/spreadsheetml/2006/main" count="160" uniqueCount="89">
  <si>
    <t>ID</t>
  </si>
  <si>
    <t>Product</t>
  </si>
  <si>
    <t xml:space="preserve">    Category</t>
  </si>
  <si>
    <t xml:space="preserve"> Region</t>
  </si>
  <si>
    <t>Sales</t>
  </si>
  <si>
    <t>Quantity</t>
  </si>
  <si>
    <t>Price</t>
  </si>
  <si>
    <t>Date</t>
  </si>
  <si>
    <t>Apple</t>
  </si>
  <si>
    <t>Banana</t>
  </si>
  <si>
    <t>Carrot</t>
  </si>
  <si>
    <t>Tomato</t>
  </si>
  <si>
    <t>Grapes</t>
  </si>
  <si>
    <t>Potato</t>
  </si>
  <si>
    <t>Mango</t>
  </si>
  <si>
    <t>Cucumber</t>
  </si>
  <si>
    <t>Vegetables</t>
  </si>
  <si>
    <t>Orange</t>
  </si>
  <si>
    <t>Lettuce</t>
  </si>
  <si>
    <t>Pineapple</t>
  </si>
  <si>
    <t>Fruits</t>
  </si>
  <si>
    <t>Beans</t>
  </si>
  <si>
    <t>Kiwi</t>
  </si>
  <si>
    <t>ONION</t>
  </si>
  <si>
    <t>Papaya</t>
  </si>
  <si>
    <t>Spinach</t>
  </si>
  <si>
    <t>Watermelon</t>
  </si>
  <si>
    <t>Broccoli</t>
  </si>
  <si>
    <t>Strawberry</t>
  </si>
  <si>
    <t>Peas</t>
  </si>
  <si>
    <t>Pomegranate</t>
  </si>
  <si>
    <t>Cabbage</t>
  </si>
  <si>
    <t>Guava</t>
  </si>
  <si>
    <t>Brinjal</t>
  </si>
  <si>
    <t>Blueberry</t>
  </si>
  <si>
    <t>Cauliflower</t>
  </si>
  <si>
    <t>Sapota</t>
  </si>
  <si>
    <t>Pumpkin</t>
  </si>
  <si>
    <t>Cherry</t>
  </si>
  <si>
    <t>Radish</t>
  </si>
  <si>
    <t>Sum of Sales</t>
  </si>
  <si>
    <t>Row Labels</t>
  </si>
  <si>
    <t>Grand Total</t>
  </si>
  <si>
    <t>North</t>
  </si>
  <si>
    <t>South</t>
  </si>
  <si>
    <t>East</t>
  </si>
  <si>
    <t>West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</si>
  <si>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</si>
  <si>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</si>
  <si>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</si>
  <si>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</si>
  <si>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</si>
  <si>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</si>
  <si>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</si>
  <si>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</si>
  <si>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</si>
  <si>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</si>
  <si>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</si>
  <si>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</si>
  <si>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</si>
  <si>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</si>
  <si>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</si>
  <si>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</si>
  <si>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</si>
  <si>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</si>
  <si>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</si>
  <si>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</si>
  <si>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</si>
  <si>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</si>
  <si>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</si>
  <si>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</si>
  <si>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</si>
  <si>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</si>
  <si>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</si>
  <si>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</si>
  <si>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</si>
  <si>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</si>
  <si>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Region Wise Total Sales</t>
  </si>
  <si>
    <t>Sum of Price</t>
  </si>
  <si>
    <t>Sum of Price Per Catergory</t>
  </si>
  <si>
    <t>Category Wise Sale</t>
  </si>
  <si>
    <t>KPI Values</t>
  </si>
  <si>
    <t>Total Sales</t>
  </si>
  <si>
    <t>Total Quantity</t>
  </si>
  <si>
    <t>Max Price -Item</t>
  </si>
  <si>
    <t>Min Price -Item</t>
  </si>
  <si>
    <t>max price in the row</t>
  </si>
  <si>
    <t>MATCH Function</t>
  </si>
  <si>
    <t>Product in which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</si>
</sst>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2" fontId="0" fillId="0" borderId="1" xfId="0" applyNumberFormat="1" applyBorder="1"/>
    <xf numFmtId="1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pivotButton="1" applyBorder="1"/>
    <xf numFmtId="0" fontId="0" fillId="0" borderId="0" xfId="0" applyBorder="1" applyAlignment="1"/>
    <xf numFmtId="49" fontId="0" fillId="0" borderId="3" xfId="0" applyNumberFormat="1" applyBorder="1"/>
    <xf numFmtId="14" fontId="0" fillId="0" borderId="2" xfId="0" applyNumberFormat="1" applyBorder="1"/>
    <xf numFmtId="49" fontId="0" fillId="0" borderId="8" xfId="0" applyNumberFormat="1" applyBorder="1"/>
    <xf numFmtId="49" fontId="0" fillId="0" borderId="4" xfId="0" applyNumberFormat="1" applyBorder="1"/>
    <xf numFmtId="0" fontId="0" fillId="0" borderId="4" xfId="0" applyBorder="1"/>
    <xf numFmtId="1" fontId="0" fillId="0" borderId="4" xfId="0" applyNumberFormat="1" applyBorder="1"/>
    <xf numFmtId="14" fontId="0" fillId="0" borderId="9" xfId="0" applyNumberFormat="1" applyBorder="1"/>
    <xf numFmtId="0" fontId="0" fillId="0" borderId="10" xfId="0" applyBorder="1"/>
    <xf numFmtId="0" fontId="0" fillId="0" borderId="0" xfId="0" applyFill="1"/>
    <xf numFmtId="0" fontId="1" fillId="0" borderId="7" xfId="0" applyFont="1" applyFill="1" applyBorder="1"/>
    <xf numFmtId="0" fontId="1" fillId="0" borderId="5" xfId="0" applyFont="1" applyFill="1" applyBorder="1"/>
    <xf numFmtId="49" fontId="1" fillId="0" borderId="5" xfId="0" applyNumberFormat="1" applyFont="1" applyFill="1" applyBorder="1" applyAlignment="1">
      <alignment horizontal="left"/>
    </xf>
    <xf numFmtId="49" fontId="1" fillId="0" borderId="5" xfId="0" applyNumberFormat="1" applyFont="1" applyFill="1" applyBorder="1"/>
    <xf numFmtId="0" fontId="1" fillId="0" borderId="6" xfId="0" applyFont="1" applyFill="1" applyBorder="1"/>
    <xf numFmtId="0" fontId="0" fillId="0" borderId="2" xfId="0" applyBorder="1"/>
    <xf numFmtId="0" fontId="1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3" fillId="4" borderId="1" xfId="0" applyFont="1" applyFill="1" applyBorder="1"/>
    <xf numFmtId="0" fontId="0" fillId="5" borderId="1" xfId="0" applyFont="1" applyFill="1" applyBorder="1"/>
    <xf numFmtId="0" fontId="2" fillId="3" borderId="1" xfId="1" applyBorder="1"/>
  </cellXfs>
  <cellStyles count="2">
    <cellStyle name="Good" xfId="1" builtinId="26"/>
    <cellStyle name="Normal" xfId="0" builtinId="0"/>
  </cellStyles>
  <dxfs count="43"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64" formatCode="0.0"/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[Fruits Report + Dashboard.xlsx]Summary Report!PivotTable3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Region wise Sales</a:t>
            </a:r>
          </a:p>
        </c:rich>
      </c:tx>
      <c:layout>
        <c:manualLayout>
          <c:xMode val="edge"/>
          <c:yMode val="edge"/>
          <c:x val="0.24987011809283646"/>
          <c:y val="4.1775048957341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992276171559105"/>
          <c:y val="0.22708145019970258"/>
          <c:w val="0.79452166652717016"/>
          <c:h val="0.63088845340795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Report'!$B$3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Report'!$B$4:$B$8</c:f>
              <c:numCache>
                <c:formatCode>0.00</c:formatCode>
                <c:ptCount val="4"/>
                <c:pt idx="0">
                  <c:v>1548</c:v>
                </c:pt>
                <c:pt idx="1">
                  <c:v>1272</c:v>
                </c:pt>
                <c:pt idx="2">
                  <c:v>1200</c:v>
                </c:pt>
                <c:pt idx="3">
                  <c:v>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0-4841-8977-BA0611FC6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162543"/>
        <c:axId val="899003135"/>
      </c:barChart>
      <c:catAx>
        <c:axId val="813162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03135"/>
        <c:crosses val="autoZero"/>
        <c:auto val="1"/>
        <c:lblAlgn val="ctr"/>
        <c:lblOffset val="100"/>
        <c:noMultiLvlLbl val="0"/>
      </c:catAx>
      <c:valAx>
        <c:axId val="899003135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6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[Fruits Report + Dashboard.xlsx]Summary Report!PivotTable6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</a:t>
            </a:r>
            <a:r>
              <a:rPr lang="en-US" baseline="0"/>
              <a:t> in sales</a:t>
            </a:r>
            <a:endParaRPr lang="en-US"/>
          </a:p>
        </c:rich>
      </c:tx>
      <c:layout>
        <c:manualLayout>
          <c:xMode val="edge"/>
          <c:yMode val="edge"/>
          <c:x val="0.2387144633236635"/>
          <c:y val="4.6776730840007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6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6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6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3319916951941064"/>
          <c:y val="0.24535093882495454"/>
          <c:w val="0.33897479478436526"/>
          <c:h val="0.5823413688673531"/>
        </c:manualLayout>
      </c:layout>
      <c:doughnutChart>
        <c:varyColors val="1"/>
        <c:ser>
          <c:idx val="0"/>
          <c:order val="0"/>
          <c:tx>
            <c:strRef>
              <c:f>'Summary Report'!$E$3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B52-4DB8-839A-38F2B24A145F}"/>
              </c:ext>
            </c:extLst>
          </c:dPt>
          <c:dPt>
            <c:idx val="1"/>
            <c:bubble3D val="0"/>
            <c:explosion val="16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2A7-4D31-8D0C-7FDDA00965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'Summary Report'!$D$4:$D$6</c:f>
              <c:strCache>
                <c:ptCount val="2"/>
                <c:pt idx="0">
                  <c:v>Fruits</c:v>
                </c:pt>
                <c:pt idx="1">
                  <c:v>Vegetables</c:v>
                </c:pt>
              </c:strCache>
            </c:strRef>
          </c:cat>
          <c:val>
            <c:numRef>
              <c:f>'Summary Report'!$E$4:$E$6</c:f>
              <c:numCache>
                <c:formatCode>General</c:formatCode>
                <c:ptCount val="2"/>
                <c:pt idx="0">
                  <c:v>3540</c:v>
                </c:pt>
                <c:pt idx="1">
                  <c:v>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7-4D31-8D0C-7FDDA00965E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679161012653804"/>
          <c:y val="0.77923004239854632"/>
          <c:w val="0.58014783592451891"/>
          <c:h val="0.18384688067837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[Fruits Report + Dashboard.xlsx]Summary Report!PivotTable9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Price</a:t>
            </a:r>
            <a:r>
              <a:rPr lang="en-IN" baseline="0"/>
              <a:t> </a:t>
            </a:r>
            <a:r>
              <a:rPr lang="en-IN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Differance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7082009541471226E-2"/>
          <c:y val="0.2730619797690822"/>
          <c:w val="0.85602279682069704"/>
          <c:h val="0.725650538926170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Report'!$B$14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Report'!$A$15:$A$17</c:f>
              <c:strCache>
                <c:ptCount val="2"/>
                <c:pt idx="0">
                  <c:v>Fruits</c:v>
                </c:pt>
                <c:pt idx="1">
                  <c:v>Vegetables</c:v>
                </c:pt>
              </c:strCache>
            </c:strRef>
          </c:cat>
          <c:val>
            <c:numRef>
              <c:f>'Summary Report'!$B$15:$B$17</c:f>
              <c:numCache>
                <c:formatCode>General</c:formatCode>
                <c:ptCount val="2"/>
                <c:pt idx="0">
                  <c:v>85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7-4405-A0A0-143549131E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8820207"/>
        <c:axId val="849853471"/>
      </c:barChart>
      <c:catAx>
        <c:axId val="9088202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9853471"/>
        <c:crosses val="autoZero"/>
        <c:auto val="1"/>
        <c:lblAlgn val="ctr"/>
        <c:lblOffset val="100"/>
        <c:noMultiLvlLbl val="0"/>
      </c:catAx>
      <c:valAx>
        <c:axId val="849853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882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380797</xdr:colOff>
      <xdr:row>0</xdr:row>
      <xdr:rowOff>23508</xdr:rowOff>
    </xdr:from>
    <xdr:to>
      <xdr:col>13</xdr:col>
      <xdr:colOff>394026</xdr:colOff>
      <xdr:row>3</xdr:row>
      <xdr:rowOff>51289</xdr:rowOff>
    </xdr:to>
    <xdr:sp macro="" textlink="">
      <xdr:nvSpPr>
        <xdr:cNvPr id="2" name="TextBox 1"/>
        <xdr:cNvSpPr txBox="1"/>
      </xdr:nvSpPr>
      <xdr:spPr>
        <a:xfrm>
          <a:off x="2823105" y="23508"/>
          <a:ext cx="5508421" cy="61393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>
              <a:latin typeface="Britannic Bold" panose="020B0903060703020204" pitchFamily="34" charset="0"/>
            </a:rPr>
            <a:t>Sales Analysis Dashboard.</a:t>
          </a:r>
        </a:p>
      </xdr:txBody>
    </xdr:sp>
    <xdr:clientData/>
  </xdr:twoCellAnchor>
  <xdr:twoCellAnchor>
    <xdr:from>
      <xdr:col>0</xdr:col>
      <xdr:colOff>0</xdr:colOff>
      <xdr:row>12</xdr:row>
      <xdr:rowOff>12211</xdr:rowOff>
    </xdr:from>
    <xdr:to>
      <xdr:col>5</xdr:col>
      <xdr:colOff>608133</xdr:colOff>
      <xdr:row>22</xdr:row>
      <xdr:rowOff>183173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605692</xdr:colOff>
      <xdr:row>12</xdr:row>
      <xdr:rowOff>14897</xdr:rowOff>
    </xdr:from>
    <xdr:to>
      <xdr:col>11</xdr:col>
      <xdr:colOff>561731</xdr:colOff>
      <xdr:row>23</xdr:row>
      <xdr:rowOff>14897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562544</xdr:colOff>
      <xdr:row>12</xdr:row>
      <xdr:rowOff>13839</xdr:rowOff>
    </xdr:from>
    <xdr:to>
      <xdr:col>17</xdr:col>
      <xdr:colOff>537305</xdr:colOff>
      <xdr:row>23</xdr:row>
      <xdr:rowOff>12212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422031</xdr:colOff>
      <xdr:row>12</xdr:row>
      <xdr:rowOff>141166</xdr:rowOff>
    </xdr:from>
    <xdr:ext cx="65" cy="172227"/>
    <xdr:sp macro="" textlink="">
      <xdr:nvSpPr>
        <xdr:cNvPr id="6" name="TextBox 5"/>
        <xdr:cNvSpPr txBox="1"/>
      </xdr:nvSpPr>
      <xdr:spPr>
        <a:xfrm>
          <a:off x="7748954" y="248578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2</xdr:col>
      <xdr:colOff>12210</xdr:colOff>
      <xdr:row>8</xdr:row>
      <xdr:rowOff>12211</xdr:rowOff>
    </xdr:from>
    <xdr:to>
      <xdr:col>4</xdr:col>
      <xdr:colOff>598365</xdr:colOff>
      <xdr:row>10</xdr:row>
      <xdr:rowOff>183173</xdr:rowOff>
    </xdr:to>
    <xdr:sp macro="" textlink="$W$3">
      <xdr:nvSpPr>
        <xdr:cNvPr id="14" name="Rounded Rectangle 13"/>
        <xdr:cNvSpPr/>
      </xdr:nvSpPr>
      <xdr:spPr>
        <a:xfrm>
          <a:off x="1233364" y="1575288"/>
          <a:ext cx="1807309" cy="561731"/>
        </a:xfrm>
        <a:prstGeom prst="roundRect">
          <a:avLst>
            <a:gd name="adj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C3232DEB-12D0-44DC-8B65-F62E979C589D}" type="TxLink">
            <a:rPr lang="en-US" sz="20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5045</a:t>
          </a:fld>
          <a:endParaRPr lang="en-US" sz="20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1</xdr:colOff>
      <xdr:row>8</xdr:row>
      <xdr:rowOff>1</xdr:rowOff>
    </xdr:from>
    <xdr:to>
      <xdr:col>12</xdr:col>
      <xdr:colOff>598367</xdr:colOff>
      <xdr:row>10</xdr:row>
      <xdr:rowOff>183174</xdr:rowOff>
    </xdr:to>
    <xdr:sp macro="" textlink="$Y$3">
      <xdr:nvSpPr>
        <xdr:cNvPr id="15" name="Rounded Rectangle 14"/>
        <xdr:cNvSpPr/>
      </xdr:nvSpPr>
      <xdr:spPr>
        <a:xfrm>
          <a:off x="6105770" y="1563078"/>
          <a:ext cx="1819520" cy="573942"/>
        </a:xfrm>
        <a:prstGeom prst="roundRect">
          <a:avLst>
            <a:gd name="adj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6DBDBA94-4FFD-4E32-AE4A-6D3E955159EE}" type="TxLink">
            <a:rPr lang="en-US" sz="20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Blueberry</a:t>
          </a:fld>
          <a:endParaRPr lang="en-US" sz="20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1</xdr:colOff>
      <xdr:row>8</xdr:row>
      <xdr:rowOff>14897</xdr:rowOff>
    </xdr:from>
    <xdr:to>
      <xdr:col>9</xdr:col>
      <xdr:colOff>1</xdr:colOff>
      <xdr:row>11</xdr:row>
      <xdr:rowOff>27108</xdr:rowOff>
    </xdr:to>
    <xdr:sp macro="" textlink="$X$3">
      <xdr:nvSpPr>
        <xdr:cNvPr id="16" name="Rounded Rectangle 15"/>
        <xdr:cNvSpPr/>
      </xdr:nvSpPr>
      <xdr:spPr>
        <a:xfrm>
          <a:off x="3663463" y="1577974"/>
          <a:ext cx="1831730" cy="598365"/>
        </a:xfrm>
        <a:prstGeom prst="roundRect">
          <a:avLst>
            <a:gd name="adj" fmla="val 5128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60565883-9A6C-4832-9590-5DB5295933B5}" type="TxLink">
            <a:rPr lang="en-US" sz="20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1066</a:t>
          </a:fld>
          <a:endParaRPr lang="en-US" sz="20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12212</xdr:colOff>
      <xdr:row>5</xdr:row>
      <xdr:rowOff>12211</xdr:rowOff>
    </xdr:from>
    <xdr:to>
      <xdr:col>5</xdr:col>
      <xdr:colOff>0</xdr:colOff>
      <xdr:row>8</xdr:row>
      <xdr:rowOff>5861</xdr:rowOff>
    </xdr:to>
    <xdr:sp macro="" textlink="$W$2">
      <xdr:nvSpPr>
        <xdr:cNvPr id="17" name="Rounded Rectangle 16"/>
        <xdr:cNvSpPr/>
      </xdr:nvSpPr>
      <xdr:spPr>
        <a:xfrm>
          <a:off x="1233366" y="989134"/>
          <a:ext cx="1819519" cy="579804"/>
        </a:xfrm>
        <a:prstGeom prst="roundRect">
          <a:avLst>
            <a:gd name="adj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C4D41BAE-B0AB-41FA-8C26-948332009A94}" type="TxLink">
            <a:rPr lang="en-US" sz="20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Total Sales</a:t>
          </a:fld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lgerian" panose="04020705040A02060702" pitchFamily="82" charset="0"/>
          </a:endParaRPr>
        </a:p>
      </xdr:txBody>
    </xdr:sp>
    <xdr:clientData/>
  </xdr:twoCellAnchor>
  <xdr:twoCellAnchor>
    <xdr:from>
      <xdr:col>6</xdr:col>
      <xdr:colOff>12210</xdr:colOff>
      <xdr:row>5</xdr:row>
      <xdr:rowOff>5861</xdr:rowOff>
    </xdr:from>
    <xdr:to>
      <xdr:col>8</xdr:col>
      <xdr:colOff>598366</xdr:colOff>
      <xdr:row>7</xdr:row>
      <xdr:rowOff>194896</xdr:rowOff>
    </xdr:to>
    <xdr:sp macro="" textlink="$X$2">
      <xdr:nvSpPr>
        <xdr:cNvPr id="18" name="Rounded Rectangle 17"/>
        <xdr:cNvSpPr/>
      </xdr:nvSpPr>
      <xdr:spPr>
        <a:xfrm>
          <a:off x="3675672" y="982784"/>
          <a:ext cx="1807309" cy="579804"/>
        </a:xfrm>
        <a:prstGeom prst="roundRect">
          <a:avLst>
            <a:gd name="adj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66DE5051-5FC5-403B-922B-8AF66C09FE79}" type="TxLink">
            <a:rPr lang="en-US" sz="20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Total Quantity</a:t>
          </a:fld>
          <a:endParaRPr lang="en-US" sz="20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5372</xdr:colOff>
      <xdr:row>5</xdr:row>
      <xdr:rowOff>11723</xdr:rowOff>
    </xdr:from>
    <xdr:to>
      <xdr:col>13</xdr:col>
      <xdr:colOff>0</xdr:colOff>
      <xdr:row>8</xdr:row>
      <xdr:rowOff>5373</xdr:rowOff>
    </xdr:to>
    <xdr:sp macro="" textlink="$Y$2">
      <xdr:nvSpPr>
        <xdr:cNvPr id="19" name="Rounded Rectangle 18"/>
        <xdr:cNvSpPr/>
      </xdr:nvSpPr>
      <xdr:spPr>
        <a:xfrm>
          <a:off x="6111141" y="988646"/>
          <a:ext cx="1826359" cy="579804"/>
        </a:xfrm>
        <a:prstGeom prst="roundRect">
          <a:avLst>
            <a:gd name="adj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51C88777-B111-43C8-80E7-468CD6D6798A}" type="TxLink">
            <a:rPr lang="en-US" sz="20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Max Price -Item</a:t>
          </a:fld>
          <a:endParaRPr lang="en-US" sz="20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609599</xdr:colOff>
      <xdr:row>5</xdr:row>
      <xdr:rowOff>17586</xdr:rowOff>
    </xdr:from>
    <xdr:to>
      <xdr:col>17</xdr:col>
      <xdr:colOff>1</xdr:colOff>
      <xdr:row>8</xdr:row>
      <xdr:rowOff>11236</xdr:rowOff>
    </xdr:to>
    <xdr:sp macro="" textlink="$Z$2">
      <xdr:nvSpPr>
        <xdr:cNvPr id="20" name="Rounded Rectangle 19"/>
        <xdr:cNvSpPr/>
      </xdr:nvSpPr>
      <xdr:spPr>
        <a:xfrm>
          <a:off x="8547099" y="994509"/>
          <a:ext cx="1832710" cy="579804"/>
        </a:xfrm>
        <a:prstGeom prst="roundRect">
          <a:avLst>
            <a:gd name="adj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BA461E17-4F83-4003-AD92-6D61A2CD01DF}" type="TxLink">
            <a:rPr lang="en-US" sz="20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Min Price -Item</a:t>
          </a:fld>
          <a:endParaRPr lang="en-US" sz="20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11723</xdr:colOff>
      <xdr:row>8</xdr:row>
      <xdr:rowOff>23933</xdr:rowOff>
    </xdr:from>
    <xdr:to>
      <xdr:col>17</xdr:col>
      <xdr:colOff>12212</xdr:colOff>
      <xdr:row>11</xdr:row>
      <xdr:rowOff>0</xdr:rowOff>
    </xdr:to>
    <xdr:sp macro="" textlink="$Z$3">
      <xdr:nvSpPr>
        <xdr:cNvPr id="22" name="Rounded Rectangle 21"/>
        <xdr:cNvSpPr/>
      </xdr:nvSpPr>
      <xdr:spPr>
        <a:xfrm>
          <a:off x="8559800" y="1587010"/>
          <a:ext cx="1832220" cy="562221"/>
        </a:xfrm>
        <a:prstGeom prst="roundRect">
          <a:avLst>
            <a:gd name="adj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495ED9CE-DF81-4198-AEF5-1D1717DA3D26}" type="TxLink">
            <a:rPr lang="en-US" sz="20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Potato</a:t>
          </a:fld>
          <a:endParaRPr lang="en-US" sz="20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89.988120486109" createdVersion="6" refreshedVersion="6" minRefreshableVersion="3" recordCount="30">
  <cacheSource type="worksheet">
    <worksheetSource ref="A1:H31" sheet="Fruits"/>
  </cacheSource>
  <cacheFields count="9">
    <cacheField name="ID" numFmtId="49">
      <sharedItems count="30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</sharedItems>
      <fieldGroup par="8"/>
    </cacheField>
    <cacheField name="Product" numFmtId="49">
      <sharedItems count="30">
        <s v="Apple"/>
        <s v="Banana"/>
        <s v="Carrot"/>
        <s v="Tomato"/>
        <s v="Grapes"/>
        <s v="Potato"/>
        <s v="Mango"/>
        <s v="Cucumber"/>
        <s v="Orange"/>
        <s v="Lettuce"/>
        <s v="Pineapple"/>
        <s v="Beans"/>
        <s v="Kiwi"/>
        <s v="ONION"/>
        <s v="Papaya"/>
        <s v="Spinach"/>
        <s v="Watermelon"/>
        <s v="Broccoli"/>
        <s v="Strawberry"/>
        <s v="Peas"/>
        <s v="Pomegranate"/>
        <s v="Cabbage"/>
        <s v="Guava"/>
        <s v="Brinjal"/>
        <s v="Blueberry"/>
        <s v="Cauliflower"/>
        <s v="Sapota"/>
        <s v="Pumpkin"/>
        <s v="Cherry"/>
        <s v="Radish"/>
      </sharedItems>
    </cacheField>
    <cacheField name="    Category" numFmtId="0">
      <sharedItems count="2">
        <s v="Fruits"/>
        <s v="Vegetables"/>
      </sharedItems>
    </cacheField>
    <cacheField name=" Region" numFmtId="0">
      <sharedItems count="4">
        <s v="North"/>
        <s v="South"/>
        <s v="East"/>
        <s v="West"/>
      </sharedItems>
    </cacheField>
    <cacheField name="Sales" numFmtId="1">
      <sharedItems containsSemiMixedTypes="0" containsString="0" containsNumber="1" containsInteger="1" minValue="70" maxValue="340" count="29">
        <n v="200"/>
        <n v="150"/>
        <n v="100"/>
        <n v="120"/>
        <n v="250"/>
        <n v="90"/>
        <n v="180"/>
        <n v="110"/>
        <n v="220"/>
        <n v="130"/>
        <n v="300"/>
        <n v="95"/>
        <n v="210"/>
        <n v="80"/>
        <n v="240"/>
        <n v="85"/>
        <n v="260"/>
        <n v="115"/>
        <n v="320"/>
        <n v="70"/>
        <n v="230"/>
        <n v="105"/>
        <n v="170"/>
        <n v="92"/>
        <n v="310"/>
        <n v="108"/>
        <n v="160"/>
        <n v="340"/>
        <n v="75"/>
      </sharedItems>
    </cacheField>
    <cacheField name="Quantity" numFmtId="1">
      <sharedItems containsSemiMixedTypes="0" containsString="0" containsNumber="1" containsInteger="1" minValue="12" maxValue="70"/>
    </cacheField>
    <cacheField name="Price" numFmtId="1">
      <sharedItems containsSemiMixedTypes="0" containsString="0" containsNumber="1" containsInteger="1" minValue="2" maxValue="9"/>
    </cacheField>
    <cacheField name="Date" numFmtId="14">
      <sharedItems containsSemiMixedTypes="0" containsNonDate="0" containsDate="1" containsString="0" minDate="2024-01-01T00:00:00" maxDate="2024-01-31T00:00:00"/>
    </cacheField>
    <cacheField name="ID2" numFmtId="0" databaseField="0">
      <fieldGroup base="0">
        <discretePr count="30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990.080385763889" createdVersion="6" refreshedVersion="6" minRefreshableVersion="3" recordCount="30">
  <cacheSource type="worksheet">
    <worksheetSource name="Table1"/>
  </cacheSource>
  <cacheFields count="8">
    <cacheField name="ID" numFmtId="49">
      <sharedItems/>
    </cacheField>
    <cacheField name="Product" numFmtId="49">
      <sharedItems/>
    </cacheField>
    <cacheField name="    Category" numFmtId="0">
      <sharedItems count="2">
        <s v="Fruits"/>
        <s v="Vegetables"/>
      </sharedItems>
    </cacheField>
    <cacheField name=" Region" numFmtId="0">
      <sharedItems/>
    </cacheField>
    <cacheField name="Sales" numFmtId="1">
      <sharedItems containsSemiMixedTypes="0" containsString="0" containsNumber="1" containsInteger="1" minValue="70" maxValue="340"/>
    </cacheField>
    <cacheField name="Quantity" numFmtId="1">
      <sharedItems containsSemiMixedTypes="0" containsString="0" containsNumber="1" containsInteger="1" minValue="12" maxValue="70"/>
    </cacheField>
    <cacheField name="Price" numFmtId="1">
      <sharedItems containsSemiMixedTypes="0" containsString="0" containsNumber="1" containsInteger="1" minValue="2" maxValue="9"/>
    </cacheField>
    <cacheField name="Date" numFmtId="14">
      <sharedItems containsSemiMixedTypes="0" containsNonDate="0" containsDate="1" containsString="0" minDate="2024-01-01T00:00:00" maxDate="2024-01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n v="50"/>
    <n v="4"/>
    <d v="2024-01-01T00:00:00"/>
  </r>
  <r>
    <x v="1"/>
    <x v="1"/>
    <x v="0"/>
    <x v="1"/>
    <x v="1"/>
    <n v="30"/>
    <n v="5"/>
    <d v="2024-01-02T00:00:00"/>
  </r>
  <r>
    <x v="2"/>
    <x v="2"/>
    <x v="1"/>
    <x v="2"/>
    <x v="2"/>
    <n v="20"/>
    <n v="3"/>
    <d v="2024-01-03T00:00:00"/>
  </r>
  <r>
    <x v="3"/>
    <x v="3"/>
    <x v="1"/>
    <x v="3"/>
    <x v="3"/>
    <n v="40"/>
    <n v="3"/>
    <d v="2024-01-04T00:00:00"/>
  </r>
  <r>
    <x v="4"/>
    <x v="4"/>
    <x v="0"/>
    <x v="0"/>
    <x v="4"/>
    <n v="60"/>
    <n v="5"/>
    <d v="2024-01-05T00:00:00"/>
  </r>
  <r>
    <x v="5"/>
    <x v="5"/>
    <x v="1"/>
    <x v="2"/>
    <x v="5"/>
    <n v="25"/>
    <n v="2"/>
    <d v="2024-01-06T00:00:00"/>
  </r>
  <r>
    <x v="6"/>
    <x v="6"/>
    <x v="0"/>
    <x v="1"/>
    <x v="6"/>
    <n v="45"/>
    <n v="6"/>
    <d v="2024-01-07T00:00:00"/>
  </r>
  <r>
    <x v="7"/>
    <x v="7"/>
    <x v="1"/>
    <x v="3"/>
    <x v="7"/>
    <n v="35"/>
    <n v="3"/>
    <d v="2024-01-08T00:00:00"/>
  </r>
  <r>
    <x v="8"/>
    <x v="8"/>
    <x v="0"/>
    <x v="0"/>
    <x v="8"/>
    <n v="55"/>
    <n v="4"/>
    <d v="2024-01-09T00:00:00"/>
  </r>
  <r>
    <x v="9"/>
    <x v="9"/>
    <x v="1"/>
    <x v="1"/>
    <x v="9"/>
    <n v="30"/>
    <n v="3"/>
    <d v="2024-01-10T00:00:00"/>
  </r>
  <r>
    <x v="10"/>
    <x v="10"/>
    <x v="0"/>
    <x v="2"/>
    <x v="10"/>
    <n v="70"/>
    <n v="6"/>
    <d v="2024-01-11T00:00:00"/>
  </r>
  <r>
    <x v="11"/>
    <x v="11"/>
    <x v="1"/>
    <x v="3"/>
    <x v="11"/>
    <n v="22"/>
    <n v="2"/>
    <d v="2024-01-12T00:00:00"/>
  </r>
  <r>
    <x v="12"/>
    <x v="12"/>
    <x v="0"/>
    <x v="0"/>
    <x v="12"/>
    <n v="40"/>
    <n v="5"/>
    <d v="2024-01-13T00:00:00"/>
  </r>
  <r>
    <x v="13"/>
    <x v="13"/>
    <x v="1"/>
    <x v="1"/>
    <x v="13"/>
    <n v="18"/>
    <n v="2"/>
    <d v="2024-01-14T00:00:00"/>
  </r>
  <r>
    <x v="14"/>
    <x v="14"/>
    <x v="0"/>
    <x v="2"/>
    <x v="14"/>
    <n v="50"/>
    <n v="4"/>
    <d v="2024-01-15T00:00:00"/>
  </r>
  <r>
    <x v="15"/>
    <x v="15"/>
    <x v="1"/>
    <x v="3"/>
    <x v="15"/>
    <n v="15"/>
    <n v="2"/>
    <d v="2024-01-16T00:00:00"/>
  </r>
  <r>
    <x v="16"/>
    <x v="16"/>
    <x v="0"/>
    <x v="1"/>
    <x v="16"/>
    <n v="65"/>
    <n v="7"/>
    <d v="2024-01-17T00:00:00"/>
  </r>
  <r>
    <x v="17"/>
    <x v="17"/>
    <x v="1"/>
    <x v="0"/>
    <x v="17"/>
    <n v="25"/>
    <n v="4"/>
    <d v="2024-01-18T00:00:00"/>
  </r>
  <r>
    <x v="18"/>
    <x v="18"/>
    <x v="0"/>
    <x v="2"/>
    <x v="18"/>
    <n v="55"/>
    <n v="8"/>
    <d v="2024-01-19T00:00:00"/>
  </r>
  <r>
    <x v="19"/>
    <x v="19"/>
    <x v="1"/>
    <x v="1"/>
    <x v="19"/>
    <n v="12"/>
    <n v="2"/>
    <d v="2024-01-20T00:00:00"/>
  </r>
  <r>
    <x v="20"/>
    <x v="20"/>
    <x v="0"/>
    <x v="3"/>
    <x v="20"/>
    <n v="48"/>
    <n v="6"/>
    <d v="2024-01-21T00:00:00"/>
  </r>
  <r>
    <x v="21"/>
    <x v="21"/>
    <x v="1"/>
    <x v="0"/>
    <x v="21"/>
    <n v="20"/>
    <n v="3"/>
    <d v="2024-01-22T00:00:00"/>
  </r>
  <r>
    <x v="22"/>
    <x v="22"/>
    <x v="0"/>
    <x v="1"/>
    <x v="22"/>
    <n v="35"/>
    <n v="4"/>
    <d v="2024-01-23T00:00:00"/>
  </r>
  <r>
    <x v="23"/>
    <x v="23"/>
    <x v="1"/>
    <x v="2"/>
    <x v="23"/>
    <n v="18"/>
    <n v="3"/>
    <d v="2024-01-24T00:00:00"/>
  </r>
  <r>
    <x v="24"/>
    <x v="24"/>
    <x v="0"/>
    <x v="3"/>
    <x v="24"/>
    <n v="42"/>
    <n v="9"/>
    <d v="2024-01-25T00:00:00"/>
  </r>
  <r>
    <x v="25"/>
    <x v="25"/>
    <x v="1"/>
    <x v="0"/>
    <x v="25"/>
    <n v="22"/>
    <n v="3"/>
    <d v="2024-01-26T00:00:00"/>
  </r>
  <r>
    <x v="26"/>
    <x v="26"/>
    <x v="0"/>
    <x v="1"/>
    <x v="26"/>
    <n v="28"/>
    <n v="4"/>
    <d v="2024-01-27T00:00:00"/>
  </r>
  <r>
    <x v="27"/>
    <x v="27"/>
    <x v="1"/>
    <x v="2"/>
    <x v="9"/>
    <n v="26"/>
    <n v="3"/>
    <d v="2024-01-28T00:00:00"/>
  </r>
  <r>
    <x v="28"/>
    <x v="28"/>
    <x v="0"/>
    <x v="0"/>
    <x v="27"/>
    <n v="50"/>
    <n v="8"/>
    <d v="2024-01-29T00:00:00"/>
  </r>
  <r>
    <x v="29"/>
    <x v="29"/>
    <x v="1"/>
    <x v="3"/>
    <x v="28"/>
    <n v="15"/>
    <n v="2"/>
    <d v="2024-01-30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s v="1"/>
    <s v="Apple"/>
    <x v="0"/>
    <s v="North"/>
    <n v="200"/>
    <n v="50"/>
    <n v="4"/>
    <d v="2024-01-01T00:00:00"/>
  </r>
  <r>
    <s v="2"/>
    <s v="Banana"/>
    <x v="0"/>
    <s v="South"/>
    <n v="150"/>
    <n v="30"/>
    <n v="5"/>
    <d v="2024-01-02T00:00:00"/>
  </r>
  <r>
    <s v="3"/>
    <s v="Carrot"/>
    <x v="1"/>
    <s v="East"/>
    <n v="100"/>
    <n v="20"/>
    <n v="3"/>
    <d v="2024-01-03T00:00:00"/>
  </r>
  <r>
    <s v="4"/>
    <s v="Tomato"/>
    <x v="1"/>
    <s v="West"/>
    <n v="120"/>
    <n v="40"/>
    <n v="3"/>
    <d v="2024-01-04T00:00:00"/>
  </r>
  <r>
    <s v="5"/>
    <s v="Grapes"/>
    <x v="0"/>
    <s v="North"/>
    <n v="250"/>
    <n v="60"/>
    <n v="5"/>
    <d v="2024-01-05T00:00:00"/>
  </r>
  <r>
    <s v="6"/>
    <s v="Potato"/>
    <x v="1"/>
    <s v="East"/>
    <n v="90"/>
    <n v="25"/>
    <n v="2"/>
    <d v="2024-01-06T00:00:00"/>
  </r>
  <r>
    <s v="7"/>
    <s v="Mango"/>
    <x v="0"/>
    <s v="South"/>
    <n v="180"/>
    <n v="45"/>
    <n v="6"/>
    <d v="2024-01-07T00:00:00"/>
  </r>
  <r>
    <s v="8"/>
    <s v="Cucumber"/>
    <x v="1"/>
    <s v="West"/>
    <n v="110"/>
    <n v="35"/>
    <n v="3"/>
    <d v="2024-01-08T00:00:00"/>
  </r>
  <r>
    <s v="9"/>
    <s v="Orange"/>
    <x v="0"/>
    <s v="North"/>
    <n v="220"/>
    <n v="55"/>
    <n v="4"/>
    <d v="2024-01-09T00:00:00"/>
  </r>
  <r>
    <s v="10"/>
    <s v="Lettuce"/>
    <x v="1"/>
    <s v="South"/>
    <n v="130"/>
    <n v="30"/>
    <n v="3"/>
    <d v="2024-01-10T00:00:00"/>
  </r>
  <r>
    <s v="11"/>
    <s v="Pineapple"/>
    <x v="0"/>
    <s v="East"/>
    <n v="300"/>
    <n v="70"/>
    <n v="6"/>
    <d v="2024-01-11T00:00:00"/>
  </r>
  <r>
    <s v="12"/>
    <s v="Beans"/>
    <x v="1"/>
    <s v="West"/>
    <n v="95"/>
    <n v="22"/>
    <n v="2"/>
    <d v="2024-01-12T00:00:00"/>
  </r>
  <r>
    <s v="13"/>
    <s v="Kiwi"/>
    <x v="0"/>
    <s v="North"/>
    <n v="210"/>
    <n v="40"/>
    <n v="5"/>
    <d v="2024-01-13T00:00:00"/>
  </r>
  <r>
    <s v="14"/>
    <s v="ONION"/>
    <x v="1"/>
    <s v="South"/>
    <n v="80"/>
    <n v="18"/>
    <n v="2"/>
    <d v="2024-01-14T00:00:00"/>
  </r>
  <r>
    <s v="15"/>
    <s v="Papaya"/>
    <x v="0"/>
    <s v="East"/>
    <n v="240"/>
    <n v="50"/>
    <n v="4"/>
    <d v="2024-01-15T00:00:00"/>
  </r>
  <r>
    <s v="16"/>
    <s v="Spinach"/>
    <x v="1"/>
    <s v="West"/>
    <n v="85"/>
    <n v="15"/>
    <n v="2"/>
    <d v="2024-01-16T00:00:00"/>
  </r>
  <r>
    <s v="17"/>
    <s v="Watermelon"/>
    <x v="0"/>
    <s v="South"/>
    <n v="260"/>
    <n v="65"/>
    <n v="7"/>
    <d v="2024-01-17T00:00:00"/>
  </r>
  <r>
    <s v="18"/>
    <s v="Broccoli"/>
    <x v="1"/>
    <s v="North"/>
    <n v="115"/>
    <n v="25"/>
    <n v="4"/>
    <d v="2024-01-18T00:00:00"/>
  </r>
  <r>
    <s v="19"/>
    <s v="Strawberry"/>
    <x v="0"/>
    <s v="East"/>
    <n v="320"/>
    <n v="55"/>
    <n v="8"/>
    <d v="2024-01-19T00:00:00"/>
  </r>
  <r>
    <s v="20"/>
    <s v="Peas"/>
    <x v="1"/>
    <s v="South"/>
    <n v="70"/>
    <n v="12"/>
    <n v="2"/>
    <d v="2024-01-20T00:00:00"/>
  </r>
  <r>
    <s v="21"/>
    <s v="Pomegranate"/>
    <x v="0"/>
    <s v="West"/>
    <n v="230"/>
    <n v="48"/>
    <n v="6"/>
    <d v="2024-01-21T00:00:00"/>
  </r>
  <r>
    <s v="22"/>
    <s v="Cabbage"/>
    <x v="1"/>
    <s v="North"/>
    <n v="105"/>
    <n v="20"/>
    <n v="3"/>
    <d v="2024-01-22T00:00:00"/>
  </r>
  <r>
    <s v="23"/>
    <s v="Guava"/>
    <x v="0"/>
    <s v="South"/>
    <n v="170"/>
    <n v="35"/>
    <n v="4"/>
    <d v="2024-01-23T00:00:00"/>
  </r>
  <r>
    <s v="24"/>
    <s v="Brinjal"/>
    <x v="1"/>
    <s v="East"/>
    <n v="92"/>
    <n v="18"/>
    <n v="3"/>
    <d v="2024-01-24T00:00:00"/>
  </r>
  <r>
    <s v="25"/>
    <s v="Blueberry"/>
    <x v="0"/>
    <s v="West"/>
    <n v="310"/>
    <n v="42"/>
    <n v="9"/>
    <d v="2024-01-25T00:00:00"/>
  </r>
  <r>
    <s v="26"/>
    <s v="Cauliflower"/>
    <x v="1"/>
    <s v="North"/>
    <n v="108"/>
    <n v="22"/>
    <n v="3"/>
    <d v="2024-01-26T00:00:00"/>
  </r>
  <r>
    <s v="27"/>
    <s v="Sapota"/>
    <x v="0"/>
    <s v="South"/>
    <n v="160"/>
    <n v="28"/>
    <n v="4"/>
    <d v="2024-01-27T00:00:00"/>
  </r>
  <r>
    <s v="28"/>
    <s v="Pumpkin"/>
    <x v="1"/>
    <s v="East"/>
    <n v="130"/>
    <n v="26"/>
    <n v="3"/>
    <d v="2024-01-28T00:00:00"/>
  </r>
  <r>
    <s v="29"/>
    <s v="Cherry"/>
    <x v="0"/>
    <s v="North"/>
    <n v="340"/>
    <n v="50"/>
    <n v="8"/>
    <d v="2024-01-29T00:00:00"/>
  </r>
  <r>
    <s v="30"/>
    <s v="Radish"/>
    <x v="1"/>
    <s v="West"/>
    <n v="75"/>
    <n v="15"/>
    <n v="2"/>
    <d v="2024-01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4:B17" firstHeaderRow="1" firstDataRow="1" firstDataCol="1"/>
  <pivotFields count="8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" showAll="0"/>
    <pivotField numFmtId="1" showAll="0"/>
    <pivotField dataField="1" numFmtId="1" showAll="0"/>
    <pivotField numFmtId="1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Price" fld="6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outline="1" outlineData="1" compactData="0" multipleFieldFilters="0" chartFormat="3">
  <location ref="D3:E6" firstHeaderRow="1" firstDataRow="1" firstDataCol="1"/>
  <pivotFields count="9">
    <pivotField compact="0" subtotalTop="0" showAll="0">
      <items count="3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"/>
        <item x="4"/>
        <item x="5"/>
        <item x="6"/>
        <item x="7"/>
        <item x="8"/>
        <item t="default"/>
      </items>
    </pivotField>
    <pivotField compact="0" subtotalTop="0" showAll="0">
      <items count="31">
        <item x="0"/>
        <item x="1"/>
        <item x="11"/>
        <item x="24"/>
        <item x="23"/>
        <item x="17"/>
        <item x="21"/>
        <item x="2"/>
        <item x="25"/>
        <item x="28"/>
        <item x="7"/>
        <item x="4"/>
        <item x="22"/>
        <item x="12"/>
        <item x="9"/>
        <item x="6"/>
        <item x="13"/>
        <item x="8"/>
        <item x="14"/>
        <item x="19"/>
        <item x="10"/>
        <item x="20"/>
        <item x="5"/>
        <item x="27"/>
        <item x="29"/>
        <item x="26"/>
        <item x="15"/>
        <item x="18"/>
        <item x="3"/>
        <item x="16"/>
        <item t="default"/>
      </items>
    </pivotField>
    <pivotField axis="axisRow" compact="0" subtotalTop="0" showAll="0" sortType="ascending">
      <items count="3">
        <item sd="0" x="0"/>
        <item sd="0" x="1"/>
        <item t="default"/>
      </items>
    </pivotField>
    <pivotField compact="0" subtotalTop="0" showAll="0">
      <items count="5">
        <item x="2"/>
        <item x="0"/>
        <item x="1"/>
        <item x="3"/>
        <item t="default"/>
      </items>
    </pivotField>
    <pivotField dataField="1" compact="0" numFmtId="1" subtotalTop="0" showAll="0">
      <items count="30">
        <item x="19"/>
        <item x="28"/>
        <item x="13"/>
        <item x="15"/>
        <item x="5"/>
        <item x="23"/>
        <item x="11"/>
        <item x="2"/>
        <item x="21"/>
        <item x="25"/>
        <item x="7"/>
        <item x="17"/>
        <item x="3"/>
        <item x="9"/>
        <item x="1"/>
        <item x="26"/>
        <item x="22"/>
        <item x="6"/>
        <item x="0"/>
        <item x="12"/>
        <item x="8"/>
        <item x="20"/>
        <item x="14"/>
        <item x="4"/>
        <item x="16"/>
        <item x="10"/>
        <item x="24"/>
        <item x="18"/>
        <item x="27"/>
        <item t="default"/>
      </items>
    </pivotField>
    <pivotField compact="0" numFmtId="1" subtotalTop="0" showAll="0"/>
    <pivotField compact="0" numFmtId="1" subtotalTop="0" showAll="0"/>
    <pivotField compact="0" numFmtId="14" subtotalTop="0" showAll="0"/>
    <pivotField compact="0" showAll="0" defaultSubtotal="0">
      <items count="1">
        <item x="0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es" fld="4" baseField="0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3" type="button" dataOnly="0" labelOnly="1" outline="0"/>
    </format>
    <format dxfId="11">
      <pivotArea dataOnly="0" labelOnly="1" grandRow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3" type="button" dataOnly="0" labelOnly="1" outline="0"/>
    </format>
    <format dxfId="7">
      <pivotArea dataOnly="0" labelOnly="1" grandRow="1" outline="0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outline="0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9">
    <pivotField showAll="0">
      <items count="3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" showAll="0"/>
    <pivotField numFmtId="1" showAll="0"/>
    <pivotField numFmtId="14" showAll="0"/>
    <pivotField showAll="0" defaultSubtotal="0">
      <items count="1">
        <item x="0"/>
      </items>
    </pivotField>
  </pivotFields>
  <rowFields count="1">
    <field x="3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Sales" fld="4" baseField="3" baseItem="1" numFmtId="2"/>
  </dataFields>
  <formats count="16"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collapsedLevelsAreSubtotals="1" fieldPosition="0">
        <references count="1">
          <reference field="3" count="0"/>
        </references>
      </pivotArea>
    </format>
    <format dxfId="27">
      <pivotArea dataOnly="0" labelOnly="1" fieldPosition="0">
        <references count="1">
          <reference field="3" count="0"/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31" totalsRowShown="0" headerRowDxfId="42" headerRowBorderDxfId="41" tableBorderDxfId="40" totalsRowBorderDxfId="39">
  <autoFilter ref="A1:H31"/>
  <tableColumns count="8">
    <tableColumn id="1" name="ID" dataDxfId="38"/>
    <tableColumn id="2" name="Product" dataDxfId="37"/>
    <tableColumn id="3" name="    Category" dataDxfId="36"/>
    <tableColumn id="4" name=" Region" dataDxfId="35"/>
    <tableColumn id="5" name="Sales" dataDxfId="34"/>
    <tableColumn id="6" name="Quantity" dataDxfId="33"/>
    <tableColumn id="7" name="Price" dataDxfId="32"/>
    <tableColumn id="8" name="Date" dataDxfId="3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A2" zoomScaleNormal="100" workbookViewId="0">
      <selection activeCell="J15" sqref="J15"/>
    </sheetView>
  </sheetViews>
  <sheetFormatPr defaultRowHeight="15" x14ac:dyDescent="0.25"/>
  <cols>
    <col min="1" max="1" width="5.140625" bestFit="1" customWidth="1"/>
    <col min="2" max="2" width="12.85546875" bestFit="1" customWidth="1"/>
    <col min="3" max="3" width="12.7109375" style="7" bestFit="1" customWidth="1"/>
    <col min="4" max="4" width="9.7109375" customWidth="1"/>
    <col min="5" max="5" width="7.7109375" customWidth="1"/>
    <col min="6" max="6" width="10.85546875" customWidth="1"/>
    <col min="7" max="7" width="7.5703125" customWidth="1"/>
    <col min="8" max="8" width="12.85546875" bestFit="1" customWidth="1"/>
    <col min="10" max="10" width="10.85546875" bestFit="1" customWidth="1"/>
    <col min="11" max="11" width="18.85546875" bestFit="1" customWidth="1"/>
    <col min="12" max="12" width="12.5703125" bestFit="1" customWidth="1"/>
    <col min="13" max="13" width="23.140625" bestFit="1" customWidth="1"/>
  </cols>
  <sheetData>
    <row r="1" spans="1:14" x14ac:dyDescent="0.25">
      <c r="A1" s="24" t="s">
        <v>0</v>
      </c>
      <c r="B1" s="25" t="s">
        <v>1</v>
      </c>
      <c r="C1" s="26" t="s">
        <v>2</v>
      </c>
      <c r="D1" s="27" t="s">
        <v>3</v>
      </c>
      <c r="E1" s="25" t="s">
        <v>4</v>
      </c>
      <c r="F1" s="25" t="s">
        <v>5</v>
      </c>
      <c r="G1" s="25" t="s">
        <v>6</v>
      </c>
      <c r="H1" s="28" t="s">
        <v>7</v>
      </c>
      <c r="L1" s="23"/>
    </row>
    <row r="2" spans="1:14" x14ac:dyDescent="0.25">
      <c r="A2" s="15" t="s">
        <v>47</v>
      </c>
      <c r="B2" s="2" t="s">
        <v>8</v>
      </c>
      <c r="C2" s="1" t="s">
        <v>20</v>
      </c>
      <c r="D2" s="1" t="s">
        <v>43</v>
      </c>
      <c r="E2" s="9">
        <v>200</v>
      </c>
      <c r="F2" s="9">
        <v>50</v>
      </c>
      <c r="G2" s="9">
        <v>4</v>
      </c>
      <c r="H2" s="16">
        <v>45292</v>
      </c>
    </row>
    <row r="3" spans="1:14" x14ac:dyDescent="0.25">
      <c r="A3" s="15" t="s">
        <v>48</v>
      </c>
      <c r="B3" s="2" t="s">
        <v>9</v>
      </c>
      <c r="C3" s="1" t="s">
        <v>20</v>
      </c>
      <c r="D3" s="1" t="s">
        <v>44</v>
      </c>
      <c r="E3" s="9">
        <v>150</v>
      </c>
      <c r="F3" s="9">
        <v>30</v>
      </c>
      <c r="G3" s="9">
        <v>5</v>
      </c>
      <c r="H3" s="16">
        <v>45293</v>
      </c>
    </row>
    <row r="4" spans="1:14" x14ac:dyDescent="0.25">
      <c r="A4" s="15" t="s">
        <v>49</v>
      </c>
      <c r="B4" s="2" t="s">
        <v>10</v>
      </c>
      <c r="C4" s="1" t="s">
        <v>16</v>
      </c>
      <c r="D4" s="1" t="s">
        <v>45</v>
      </c>
      <c r="E4" s="9">
        <v>100</v>
      </c>
      <c r="F4" s="9">
        <v>20</v>
      </c>
      <c r="G4" s="9">
        <v>3</v>
      </c>
      <c r="H4" s="16">
        <v>45294</v>
      </c>
    </row>
    <row r="5" spans="1:14" x14ac:dyDescent="0.25">
      <c r="A5" s="15" t="s">
        <v>50</v>
      </c>
      <c r="B5" s="2" t="s">
        <v>11</v>
      </c>
      <c r="C5" s="1" t="s">
        <v>16</v>
      </c>
      <c r="D5" s="1" t="s">
        <v>46</v>
      </c>
      <c r="E5" s="9">
        <v>120</v>
      </c>
      <c r="F5" s="9">
        <v>40</v>
      </c>
      <c r="G5" s="9">
        <v>3</v>
      </c>
      <c r="H5" s="16">
        <v>45295</v>
      </c>
    </row>
    <row r="6" spans="1:14" x14ac:dyDescent="0.25">
      <c r="A6" s="15" t="s">
        <v>51</v>
      </c>
      <c r="B6" s="2" t="s">
        <v>12</v>
      </c>
      <c r="C6" s="1" t="s">
        <v>20</v>
      </c>
      <c r="D6" s="1" t="s">
        <v>43</v>
      </c>
      <c r="E6" s="9">
        <v>250</v>
      </c>
      <c r="F6" s="9">
        <v>60</v>
      </c>
      <c r="G6" s="9">
        <v>5</v>
      </c>
      <c r="H6" s="16">
        <v>45296</v>
      </c>
    </row>
    <row r="7" spans="1:14" x14ac:dyDescent="0.25">
      <c r="A7" s="15" t="s">
        <v>52</v>
      </c>
      <c r="B7" s="2" t="s">
        <v>13</v>
      </c>
      <c r="C7" s="1" t="s">
        <v>16</v>
      </c>
      <c r="D7" s="1" t="s">
        <v>45</v>
      </c>
      <c r="E7" s="9">
        <v>90</v>
      </c>
      <c r="F7" s="9">
        <v>25</v>
      </c>
      <c r="G7" s="9">
        <v>2</v>
      </c>
      <c r="H7" s="16">
        <v>45297</v>
      </c>
      <c r="L7" t="s">
        <v>87</v>
      </c>
    </row>
    <row r="8" spans="1:14" x14ac:dyDescent="0.25">
      <c r="A8" s="15" t="s">
        <v>53</v>
      </c>
      <c r="B8" s="2" t="s">
        <v>14</v>
      </c>
      <c r="C8" s="1" t="s">
        <v>20</v>
      </c>
      <c r="D8" s="1" t="s">
        <v>44</v>
      </c>
      <c r="E8" s="9">
        <v>180</v>
      </c>
      <c r="F8" s="9">
        <v>45</v>
      </c>
      <c r="G8" s="9">
        <v>6</v>
      </c>
      <c r="H8" s="16">
        <v>45298</v>
      </c>
      <c r="K8" s="6" t="s">
        <v>86</v>
      </c>
      <c r="L8">
        <f>MATCH(MAX(Table1[Price]),Table1[Price],0)</f>
        <v>25</v>
      </c>
      <c r="M8" s="6" t="s">
        <v>88</v>
      </c>
      <c r="N8">
        <f>MATCH("Product",Table1[#Headers],0)</f>
        <v>2</v>
      </c>
    </row>
    <row r="9" spans="1:14" x14ac:dyDescent="0.25">
      <c r="A9" s="15" t="s">
        <v>54</v>
      </c>
      <c r="B9" s="2" t="s">
        <v>15</v>
      </c>
      <c r="C9" s="1" t="s">
        <v>16</v>
      </c>
      <c r="D9" s="1" t="s">
        <v>46</v>
      </c>
      <c r="E9" s="9">
        <v>110</v>
      </c>
      <c r="F9" s="9">
        <v>35</v>
      </c>
      <c r="G9" s="9">
        <v>3</v>
      </c>
      <c r="H9" s="16">
        <v>45299</v>
      </c>
    </row>
    <row r="10" spans="1:14" x14ac:dyDescent="0.25">
      <c r="A10" s="15" t="s">
        <v>55</v>
      </c>
      <c r="B10" s="2" t="s">
        <v>17</v>
      </c>
      <c r="C10" s="1" t="s">
        <v>20</v>
      </c>
      <c r="D10" s="1" t="s">
        <v>43</v>
      </c>
      <c r="E10" s="9">
        <v>220</v>
      </c>
      <c r="F10" s="9">
        <v>55</v>
      </c>
      <c r="G10" s="9">
        <v>4</v>
      </c>
      <c r="H10" s="16">
        <v>45300</v>
      </c>
      <c r="L10" t="str">
        <f>INDEX(Table1[Product],L8)</f>
        <v>Blueberry</v>
      </c>
      <c r="N10" t="str">
        <f>INDEX(A2:H31,L8,N8)</f>
        <v>Blueberry</v>
      </c>
    </row>
    <row r="11" spans="1:14" x14ac:dyDescent="0.25">
      <c r="A11" s="15" t="s">
        <v>56</v>
      </c>
      <c r="B11" s="2" t="s">
        <v>18</v>
      </c>
      <c r="C11" s="1" t="s">
        <v>16</v>
      </c>
      <c r="D11" s="1" t="s">
        <v>44</v>
      </c>
      <c r="E11" s="9">
        <v>130</v>
      </c>
      <c r="F11" s="9">
        <v>30</v>
      </c>
      <c r="G11" s="9">
        <v>3</v>
      </c>
      <c r="H11" s="16">
        <v>45301</v>
      </c>
    </row>
    <row r="12" spans="1:14" x14ac:dyDescent="0.25">
      <c r="A12" s="15" t="s">
        <v>57</v>
      </c>
      <c r="B12" s="2" t="s">
        <v>19</v>
      </c>
      <c r="C12" s="1" t="s">
        <v>20</v>
      </c>
      <c r="D12" s="1" t="s">
        <v>45</v>
      </c>
      <c r="E12" s="9">
        <v>300</v>
      </c>
      <c r="F12" s="9">
        <v>70</v>
      </c>
      <c r="G12" s="9">
        <v>6</v>
      </c>
      <c r="H12" s="16">
        <v>45302</v>
      </c>
    </row>
    <row r="13" spans="1:14" x14ac:dyDescent="0.25">
      <c r="A13" s="15" t="s">
        <v>58</v>
      </c>
      <c r="B13" s="2" t="s">
        <v>21</v>
      </c>
      <c r="C13" s="1" t="s">
        <v>16</v>
      </c>
      <c r="D13" s="1" t="s">
        <v>46</v>
      </c>
      <c r="E13" s="9">
        <v>95</v>
      </c>
      <c r="F13" s="9">
        <v>22</v>
      </c>
      <c r="G13" s="9">
        <v>2</v>
      </c>
      <c r="H13" s="16">
        <v>45303</v>
      </c>
    </row>
    <row r="14" spans="1:14" x14ac:dyDescent="0.25">
      <c r="A14" s="15" t="s">
        <v>59</v>
      </c>
      <c r="B14" s="2" t="s">
        <v>22</v>
      </c>
      <c r="C14" s="1" t="s">
        <v>20</v>
      </c>
      <c r="D14" s="1" t="s">
        <v>43</v>
      </c>
      <c r="E14" s="9">
        <v>210</v>
      </c>
      <c r="F14" s="9">
        <v>40</v>
      </c>
      <c r="G14" s="9">
        <v>5</v>
      </c>
      <c r="H14" s="16">
        <v>45304</v>
      </c>
    </row>
    <row r="15" spans="1:14" x14ac:dyDescent="0.25">
      <c r="A15" s="15" t="s">
        <v>60</v>
      </c>
      <c r="B15" s="2" t="s">
        <v>23</v>
      </c>
      <c r="C15" s="1" t="s">
        <v>16</v>
      </c>
      <c r="D15" s="1" t="s">
        <v>44</v>
      </c>
      <c r="E15" s="9">
        <v>80</v>
      </c>
      <c r="F15" s="9">
        <v>18</v>
      </c>
      <c r="G15" s="9">
        <v>2</v>
      </c>
      <c r="H15" s="16">
        <v>45305</v>
      </c>
    </row>
    <row r="16" spans="1:14" x14ac:dyDescent="0.25">
      <c r="A16" s="15" t="s">
        <v>61</v>
      </c>
      <c r="B16" s="2" t="s">
        <v>24</v>
      </c>
      <c r="C16" s="1" t="s">
        <v>20</v>
      </c>
      <c r="D16" s="1" t="s">
        <v>45</v>
      </c>
      <c r="E16" s="9">
        <v>240</v>
      </c>
      <c r="F16" s="9">
        <v>50</v>
      </c>
      <c r="G16" s="9">
        <v>4</v>
      </c>
      <c r="H16" s="16">
        <v>45306</v>
      </c>
    </row>
    <row r="17" spans="1:8" x14ac:dyDescent="0.25">
      <c r="A17" s="15" t="s">
        <v>62</v>
      </c>
      <c r="B17" s="2" t="s">
        <v>25</v>
      </c>
      <c r="C17" s="1" t="s">
        <v>16</v>
      </c>
      <c r="D17" s="1" t="s">
        <v>46</v>
      </c>
      <c r="E17" s="9">
        <v>85</v>
      </c>
      <c r="F17" s="9">
        <v>15</v>
      </c>
      <c r="G17" s="9">
        <v>2</v>
      </c>
      <c r="H17" s="16">
        <v>45307</v>
      </c>
    </row>
    <row r="18" spans="1:8" x14ac:dyDescent="0.25">
      <c r="A18" s="15" t="s">
        <v>63</v>
      </c>
      <c r="B18" s="2" t="s">
        <v>26</v>
      </c>
      <c r="C18" s="1" t="s">
        <v>20</v>
      </c>
      <c r="D18" s="1" t="s">
        <v>44</v>
      </c>
      <c r="E18" s="9">
        <v>260</v>
      </c>
      <c r="F18" s="9">
        <v>65</v>
      </c>
      <c r="G18" s="9">
        <v>7</v>
      </c>
      <c r="H18" s="16">
        <v>45308</v>
      </c>
    </row>
    <row r="19" spans="1:8" x14ac:dyDescent="0.25">
      <c r="A19" s="15" t="s">
        <v>64</v>
      </c>
      <c r="B19" s="2" t="s">
        <v>27</v>
      </c>
      <c r="C19" s="1" t="s">
        <v>16</v>
      </c>
      <c r="D19" s="1" t="s">
        <v>43</v>
      </c>
      <c r="E19" s="9">
        <v>115</v>
      </c>
      <c r="F19" s="9">
        <v>25</v>
      </c>
      <c r="G19" s="9">
        <v>4</v>
      </c>
      <c r="H19" s="16">
        <v>45309</v>
      </c>
    </row>
    <row r="20" spans="1:8" x14ac:dyDescent="0.25">
      <c r="A20" s="15" t="s">
        <v>65</v>
      </c>
      <c r="B20" s="2" t="s">
        <v>28</v>
      </c>
      <c r="C20" s="1" t="s">
        <v>20</v>
      </c>
      <c r="D20" s="1" t="s">
        <v>45</v>
      </c>
      <c r="E20" s="9">
        <v>320</v>
      </c>
      <c r="F20" s="9">
        <v>55</v>
      </c>
      <c r="G20" s="9">
        <v>8</v>
      </c>
      <c r="H20" s="16">
        <v>45310</v>
      </c>
    </row>
    <row r="21" spans="1:8" x14ac:dyDescent="0.25">
      <c r="A21" s="15" t="s">
        <v>66</v>
      </c>
      <c r="B21" s="2" t="s">
        <v>29</v>
      </c>
      <c r="C21" s="1" t="s">
        <v>16</v>
      </c>
      <c r="D21" s="1" t="s">
        <v>44</v>
      </c>
      <c r="E21" s="9">
        <v>70</v>
      </c>
      <c r="F21" s="9">
        <v>12</v>
      </c>
      <c r="G21" s="9">
        <v>2</v>
      </c>
      <c r="H21" s="16">
        <v>45311</v>
      </c>
    </row>
    <row r="22" spans="1:8" x14ac:dyDescent="0.25">
      <c r="A22" s="15" t="s">
        <v>67</v>
      </c>
      <c r="B22" s="2" t="s">
        <v>30</v>
      </c>
      <c r="C22" s="1" t="s">
        <v>20</v>
      </c>
      <c r="D22" s="1" t="s">
        <v>46</v>
      </c>
      <c r="E22" s="9">
        <v>230</v>
      </c>
      <c r="F22" s="9">
        <v>48</v>
      </c>
      <c r="G22" s="9">
        <v>6</v>
      </c>
      <c r="H22" s="16">
        <v>45312</v>
      </c>
    </row>
    <row r="23" spans="1:8" x14ac:dyDescent="0.25">
      <c r="A23" s="15" t="s">
        <v>68</v>
      </c>
      <c r="B23" s="2" t="s">
        <v>31</v>
      </c>
      <c r="C23" s="1" t="s">
        <v>16</v>
      </c>
      <c r="D23" s="1" t="s">
        <v>43</v>
      </c>
      <c r="E23" s="9">
        <v>105</v>
      </c>
      <c r="F23" s="9">
        <v>20</v>
      </c>
      <c r="G23" s="9">
        <v>3</v>
      </c>
      <c r="H23" s="16">
        <v>45313</v>
      </c>
    </row>
    <row r="24" spans="1:8" x14ac:dyDescent="0.25">
      <c r="A24" s="15" t="s">
        <v>69</v>
      </c>
      <c r="B24" s="2" t="s">
        <v>32</v>
      </c>
      <c r="C24" s="1" t="s">
        <v>20</v>
      </c>
      <c r="D24" s="1" t="s">
        <v>44</v>
      </c>
      <c r="E24" s="9">
        <v>170</v>
      </c>
      <c r="F24" s="9">
        <v>35</v>
      </c>
      <c r="G24" s="9">
        <v>4</v>
      </c>
      <c r="H24" s="16">
        <v>45314</v>
      </c>
    </row>
    <row r="25" spans="1:8" x14ac:dyDescent="0.25">
      <c r="A25" s="15" t="s">
        <v>70</v>
      </c>
      <c r="B25" s="2" t="s">
        <v>33</v>
      </c>
      <c r="C25" s="1" t="s">
        <v>16</v>
      </c>
      <c r="D25" s="1" t="s">
        <v>45</v>
      </c>
      <c r="E25" s="9">
        <v>92</v>
      </c>
      <c r="F25" s="9">
        <v>18</v>
      </c>
      <c r="G25" s="9">
        <v>3</v>
      </c>
      <c r="H25" s="16">
        <v>45315</v>
      </c>
    </row>
    <row r="26" spans="1:8" x14ac:dyDescent="0.25">
      <c r="A26" s="15" t="s">
        <v>71</v>
      </c>
      <c r="B26" s="2" t="s">
        <v>34</v>
      </c>
      <c r="C26" s="1" t="s">
        <v>20</v>
      </c>
      <c r="D26" s="1" t="s">
        <v>46</v>
      </c>
      <c r="E26" s="9">
        <v>310</v>
      </c>
      <c r="F26" s="9">
        <v>42</v>
      </c>
      <c r="G26" s="9">
        <v>9</v>
      </c>
      <c r="H26" s="16">
        <v>45316</v>
      </c>
    </row>
    <row r="27" spans="1:8" x14ac:dyDescent="0.25">
      <c r="A27" s="15" t="s">
        <v>72</v>
      </c>
      <c r="B27" s="2" t="s">
        <v>35</v>
      </c>
      <c r="C27" s="1" t="s">
        <v>16</v>
      </c>
      <c r="D27" s="1" t="s">
        <v>43</v>
      </c>
      <c r="E27" s="9">
        <v>108</v>
      </c>
      <c r="F27" s="9">
        <v>22</v>
      </c>
      <c r="G27" s="9">
        <v>3</v>
      </c>
      <c r="H27" s="16">
        <v>45317</v>
      </c>
    </row>
    <row r="28" spans="1:8" x14ac:dyDescent="0.25">
      <c r="A28" s="15" t="s">
        <v>73</v>
      </c>
      <c r="B28" s="2" t="s">
        <v>36</v>
      </c>
      <c r="C28" s="1" t="s">
        <v>20</v>
      </c>
      <c r="D28" s="1" t="s">
        <v>44</v>
      </c>
      <c r="E28" s="9">
        <v>160</v>
      </c>
      <c r="F28" s="9">
        <v>28</v>
      </c>
      <c r="G28" s="9">
        <v>4</v>
      </c>
      <c r="H28" s="16">
        <v>45318</v>
      </c>
    </row>
    <row r="29" spans="1:8" x14ac:dyDescent="0.25">
      <c r="A29" s="15" t="s">
        <v>74</v>
      </c>
      <c r="B29" s="2" t="s">
        <v>37</v>
      </c>
      <c r="C29" s="1" t="s">
        <v>16</v>
      </c>
      <c r="D29" s="1" t="s">
        <v>45</v>
      </c>
      <c r="E29" s="9">
        <v>130</v>
      </c>
      <c r="F29" s="9">
        <v>26</v>
      </c>
      <c r="G29" s="9">
        <v>3</v>
      </c>
      <c r="H29" s="16">
        <v>45319</v>
      </c>
    </row>
    <row r="30" spans="1:8" x14ac:dyDescent="0.25">
      <c r="A30" s="15" t="s">
        <v>75</v>
      </c>
      <c r="B30" s="2" t="s">
        <v>38</v>
      </c>
      <c r="C30" s="1" t="s">
        <v>20</v>
      </c>
      <c r="D30" s="1" t="s">
        <v>43</v>
      </c>
      <c r="E30" s="9">
        <v>340</v>
      </c>
      <c r="F30" s="9">
        <v>50</v>
      </c>
      <c r="G30" s="9">
        <v>8</v>
      </c>
      <c r="H30" s="16">
        <v>45320</v>
      </c>
    </row>
    <row r="31" spans="1:8" x14ac:dyDescent="0.25">
      <c r="A31" s="17" t="s">
        <v>76</v>
      </c>
      <c r="B31" s="18" t="s">
        <v>39</v>
      </c>
      <c r="C31" s="19" t="s">
        <v>16</v>
      </c>
      <c r="D31" s="19" t="s">
        <v>46</v>
      </c>
      <c r="E31" s="20">
        <v>75</v>
      </c>
      <c r="F31" s="20">
        <v>15</v>
      </c>
      <c r="G31" s="20">
        <v>2</v>
      </c>
      <c r="H31" s="21">
        <v>45321</v>
      </c>
    </row>
  </sheetData>
  <pageMargins left="0.7" right="0.7" top="0.75" bottom="0.75" header="0.3" footer="0.3"/>
  <pageSetup orientation="portrait" r:id="rId1"/>
  <ignoredErrors>
    <ignoredError sqref="A2:H31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7"/>
  <sheetViews>
    <sheetView tabSelected="1" workbookViewId="0">
      <selection activeCell="G16" sqref="G16"/>
    </sheetView>
  </sheetViews>
  <sheetFormatPr defaultRowHeight="15" x14ac:dyDescent="0.25"/>
  <cols>
    <col min="1" max="1" width="13.140625" bestFit="1" customWidth="1"/>
    <col min="2" max="2" width="12" customWidth="1"/>
    <col min="3" max="3" width="6.140625" customWidth="1"/>
    <col min="4" max="4" width="13.140625" bestFit="1" customWidth="1"/>
    <col min="5" max="5" width="18.7109375" customWidth="1"/>
    <col min="6" max="6" width="12.85546875" customWidth="1"/>
    <col min="7" max="7" width="14.7109375" bestFit="1" customWidth="1"/>
    <col min="8" max="8" width="15.7109375" customWidth="1"/>
    <col min="9" max="9" width="17" customWidth="1"/>
    <col min="10" max="10" width="16.7109375" customWidth="1"/>
    <col min="11" max="11" width="15.42578125" bestFit="1" customWidth="1"/>
    <col min="12" max="12" width="13.7109375" customWidth="1"/>
    <col min="13" max="13" width="13.7109375" bestFit="1" customWidth="1"/>
  </cols>
  <sheetData>
    <row r="2" spans="1:13" x14ac:dyDescent="0.25">
      <c r="A2" s="31" t="s">
        <v>77</v>
      </c>
      <c r="B2" s="31"/>
      <c r="D2" s="31" t="s">
        <v>80</v>
      </c>
      <c r="E2" s="31"/>
      <c r="L2" s="14"/>
      <c r="M2" s="14"/>
    </row>
    <row r="3" spans="1:13" x14ac:dyDescent="0.25">
      <c r="A3" s="13" t="s">
        <v>41</v>
      </c>
      <c r="B3" s="29" t="s">
        <v>40</v>
      </c>
      <c r="C3" s="22"/>
      <c r="D3" s="13" t="s">
        <v>2</v>
      </c>
      <c r="E3" s="1" t="s">
        <v>40</v>
      </c>
    </row>
    <row r="4" spans="1:13" x14ac:dyDescent="0.25">
      <c r="A4" s="11" t="s">
        <v>43</v>
      </c>
      <c r="B4" s="8">
        <v>1548</v>
      </c>
      <c r="D4" s="1" t="s">
        <v>20</v>
      </c>
      <c r="E4" s="12">
        <v>3540</v>
      </c>
    </row>
    <row r="5" spans="1:13" x14ac:dyDescent="0.25">
      <c r="A5" s="11" t="s">
        <v>45</v>
      </c>
      <c r="B5" s="8">
        <v>1272</v>
      </c>
      <c r="D5" s="1" t="s">
        <v>16</v>
      </c>
      <c r="E5" s="12">
        <v>1505</v>
      </c>
      <c r="G5" s="34" t="s">
        <v>81</v>
      </c>
    </row>
    <row r="6" spans="1:13" x14ac:dyDescent="0.25">
      <c r="A6" s="11" t="s">
        <v>44</v>
      </c>
      <c r="B6" s="8">
        <v>1200</v>
      </c>
      <c r="D6" s="1" t="s">
        <v>42</v>
      </c>
      <c r="E6" s="12">
        <v>5045</v>
      </c>
      <c r="G6" s="32" t="s">
        <v>82</v>
      </c>
      <c r="H6" s="32" t="s">
        <v>83</v>
      </c>
      <c r="I6" s="32" t="s">
        <v>84</v>
      </c>
      <c r="J6" s="32" t="s">
        <v>85</v>
      </c>
    </row>
    <row r="7" spans="1:13" x14ac:dyDescent="0.25">
      <c r="A7" s="11" t="s">
        <v>46</v>
      </c>
      <c r="B7" s="8">
        <v>1025</v>
      </c>
      <c r="E7" s="10"/>
      <c r="G7" s="33">
        <f>GETPIVOTDATA("Sales",$D$3)</f>
        <v>5045</v>
      </c>
      <c r="H7" s="33">
        <f>SUM(Table1[Quantity])</f>
        <v>1066</v>
      </c>
      <c r="I7" s="33" t="str">
        <f>INDEX(Table1[Product],MATCH(MAX(Table1[Price]),Table1[Price],0))</f>
        <v>Blueberry</v>
      </c>
      <c r="J7" s="33" t="str">
        <f>INDEX(Table1[Product],MATCH(MIN(Table1[Price]),Table1[Price],0))</f>
        <v>Potato</v>
      </c>
    </row>
    <row r="8" spans="1:13" x14ac:dyDescent="0.25">
      <c r="A8" s="11" t="s">
        <v>42</v>
      </c>
      <c r="B8" s="8">
        <v>5045</v>
      </c>
      <c r="E8" s="10"/>
    </row>
    <row r="11" spans="1:13" x14ac:dyDescent="0.25">
      <c r="C11" s="14"/>
      <c r="D11" s="14"/>
    </row>
    <row r="13" spans="1:13" x14ac:dyDescent="0.25">
      <c r="A13" s="31" t="s">
        <v>79</v>
      </c>
      <c r="B13" s="31"/>
    </row>
    <row r="14" spans="1:13" x14ac:dyDescent="0.25">
      <c r="A14" s="4" t="s">
        <v>41</v>
      </c>
      <c r="B14" t="s">
        <v>78</v>
      </c>
    </row>
    <row r="15" spans="1:13" x14ac:dyDescent="0.25">
      <c r="A15" s="5" t="s">
        <v>20</v>
      </c>
      <c r="B15" s="3">
        <v>85</v>
      </c>
      <c r="D15" s="5"/>
      <c r="E15" s="3"/>
    </row>
    <row r="16" spans="1:13" x14ac:dyDescent="0.25">
      <c r="A16" s="5" t="s">
        <v>16</v>
      </c>
      <c r="B16" s="3">
        <v>40</v>
      </c>
      <c r="D16" s="5"/>
      <c r="E16" s="3"/>
    </row>
    <row r="17" spans="1:5" x14ac:dyDescent="0.25">
      <c r="A17" s="5" t="s">
        <v>42</v>
      </c>
      <c r="B17" s="3">
        <v>125</v>
      </c>
      <c r="D17" s="5"/>
      <c r="E17" s="3"/>
    </row>
  </sheetData>
  <mergeCells count="3">
    <mergeCell ref="A2:B2"/>
    <mergeCell ref="A13:B13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W2:Z3"/>
  <sheetViews>
    <sheetView topLeftCell="B1" zoomScale="78" zoomScaleNormal="78" workbookViewId="0">
      <selection activeCell="N8" sqref="N8"/>
    </sheetView>
  </sheetViews>
  <sheetFormatPr defaultRowHeight="15" x14ac:dyDescent="0.25"/>
  <cols>
    <col min="24" max="24" width="13.7109375" bestFit="1" customWidth="1"/>
    <col min="25" max="25" width="15" bestFit="1" customWidth="1"/>
    <col min="26" max="26" width="14.7109375" bestFit="1" customWidth="1"/>
  </cols>
  <sheetData>
    <row r="2" spans="23:26" x14ac:dyDescent="0.25">
      <c r="W2" t="s">
        <v>82</v>
      </c>
      <c r="X2" t="s">
        <v>83</v>
      </c>
      <c r="Y2" t="s">
        <v>84</v>
      </c>
      <c r="Z2" t="s">
        <v>85</v>
      </c>
    </row>
    <row r="3" spans="23:26" x14ac:dyDescent="0.25">
      <c r="W3" s="30">
        <v>5045</v>
      </c>
      <c r="X3">
        <f>SUM(Table1[Quantity])</f>
        <v>1066</v>
      </c>
      <c r="Y3" t="str">
        <f>INDEX(Table1[Product],MATCH(MAX(Table1[Price]),Table1[Price],0))</f>
        <v>Blueberry</v>
      </c>
      <c r="Z3" t="str">
        <f>INDEX(Table1[Product],MATCH(MIN(Table1[Price]),Table1[Price],0))</f>
        <v>Potato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Fruits</vt:lpstr>
      <vt:lpstr>Summary 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2025-11-28T14:43:58Z</dcterms:created>
  <dcterms:modified xsi:type="dcterms:W3CDTF">2025-11-28T23:07:29Z</dcterms:modified>
</cp:coreProperties>
</file>